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shaan khurana\Desktop\"/>
    </mc:Choice>
  </mc:AlternateContent>
  <xr:revisionPtr revIDLastSave="0" documentId="13_ncr:1_{432E7179-6B45-4CC4-9CB1-63AD71D34AFF}" xr6:coauthVersionLast="47" xr6:coauthVersionMax="47" xr10:uidLastSave="{00000000-0000-0000-0000-000000000000}"/>
  <bookViews>
    <workbookView xWindow="-120" yWindow="-120" windowWidth="29040" windowHeight="157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Dataset!$A$1:$A$42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D12" i="19"/>
  <c r="B16" i="16"/>
  <c r="C24" i="20"/>
  <c r="C25" i="20"/>
  <c r="C26" i="20"/>
  <c r="C27" i="20"/>
  <c r="C28" i="20"/>
  <c r="C29" i="20"/>
  <c r="C30" i="20"/>
  <c r="C31" i="20"/>
  <c r="C32" i="20"/>
  <c r="C33" i="20"/>
  <c r="C34" i="20"/>
  <c r="C35" i="20"/>
  <c r="D21" i="19"/>
  <c r="D13" i="19"/>
  <c r="C22" i="19" s="1"/>
  <c r="D14" i="19"/>
  <c r="D15" i="19"/>
  <c r="D16" i="19"/>
  <c r="D17" i="19"/>
  <c r="D18" i="19"/>
  <c r="D19" i="19"/>
  <c r="D20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6" i="16"/>
  <c r="D16" i="16"/>
  <c r="C16" i="16"/>
  <c r="B17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C30" i="18"/>
  <c r="C29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D30" i="18" l="1"/>
  <c r="F29" i="18"/>
  <c r="E30" i="18"/>
  <c r="C28" i="18"/>
  <c r="E29" i="18"/>
  <c r="D29" i="18"/>
  <c r="B30" i="18"/>
  <c r="F28" i="18"/>
  <c r="F30" i="18"/>
  <c r="E28" i="18"/>
  <c r="D28" i="18"/>
  <c r="B29" i="18"/>
  <c r="B28" i="18"/>
</calcChain>
</file>

<file path=xl/sharedStrings.xml><?xml version="1.0" encoding="utf-8"?>
<sst xmlns="http://schemas.openxmlformats.org/spreadsheetml/2006/main" count="334" uniqueCount="186">
  <si>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</si>
  <si>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</si>
  <si>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</si>
  <si>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</si>
  <si>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</si>
  <si>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</si>
  <si>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</si>
  <si>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</si>
  <si>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</si>
  <si>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</si>
  <si>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</si>
  <si>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</si>
  <si>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</si>
  <si>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</si>
  <si>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</si>
  <si>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</si>
  <si>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</si>
  <si>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</si>
  <si>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</si>
  <si>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</si>
  <si>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</si>
  <si>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</si>
  <si>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</si>
  <si>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</si>
  <si>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</si>
  <si>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</si>
  <si>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</si>
  <si>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</si>
  <si>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</si>
  <si>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</si>
  <si>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</si>
  <si>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</si>
  <si>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</si>
  <si>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</si>
  <si>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</si>
  <si>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</si>
  <si>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</si>
  <si>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</si>
  <si>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</si>
  <si>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</si>
  <si>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</si>
  <si>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</si>
  <si>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</si>
  <si>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</si>
  <si>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</si>
  <si>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</si>
  <si>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</si>
  <si>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</si>
  <si>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</si>
  <si>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</si>
  <si>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</si>
  <si>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</si>
  <si>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</si>
  <si>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</si>
  <si>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</si>
  <si>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</si>
  <si>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</si>
  <si>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</si>
  <si>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</si>
  <si>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</si>
  <si>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</si>
  <si>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</si>
  <si>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</si>
  <si>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</si>
  <si>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</si>
  <si>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</si>
  <si>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</si>
  <si>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</si>
  <si>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</si>
  <si>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</si>
  <si>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</si>
  <si>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</si>
  <si>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</si>
  <si>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</si>
  <si>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</si>
  <si>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</si>
  <si>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</si>
  <si>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</si>
  <si>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</si>
  <si>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</si>
  <si>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</si>
  <si>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</si>
  <si>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</si>
  <si>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</si>
  <si>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</si>
  <si>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</si>
  <si>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</si>
  <si>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</si>
  <si>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</si>
  <si>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</si>
  <si>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</si>
  <si>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</si>
  <si>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</si>
  <si>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</si>
  <si>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</si>
  <si>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</si>
  <si>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</si>
  <si>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</si>
  <si>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</si>
  <si>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</si>
  <si>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</si>
  <si>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</si>
  <si>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</si>
  <si>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</si>
  <si>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</si>
  <si>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</si>
  <si>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</si>
  <si>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</si>
  <si>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</si>
  <si>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</si>
  <si>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</si>
  <si>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</si>
  <si>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</si>
  <si>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</si>
  <si>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</si>
  <si>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</si>
  <si>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</si>
  <si>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</si>
  <si>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</si>
  <si>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</si>
  <si>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</si>
  <si>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</si>
  <si>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</si>
  <si>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</si>
  <si>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</si>
  <si>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</si>
  <si>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</si>
  <si>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</si>
  <si>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</si>
  <si>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</si>
  <si>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</si>
  <si>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</si>
  <si>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</si>
  <si>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</si>
  <si>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</si>
  <si>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</si>
  <si>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</si>
  <si>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</si>
  <si>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</si>
  <si>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</si>
  <si>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</si>
  <si>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</si>
  <si>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</si>
  <si>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</si>
  <si>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</si>
  <si>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</si>
  <si>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</si>
  <si>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</si>
  <si>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</si>
  <si>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</si>
  <si>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</si>
  <si>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</si>
  <si>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</si>
  <si>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</si>
  <si>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</si>
  <si>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</si>
  <si>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</si>
  <si>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</si>
  <si>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</si>
  <si>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</si>
  <si>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</si>
  <si>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</si>
  <si>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</si>
  <si>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</si>
  <si>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</si>
  <si>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</si>
  <si>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</si>
  <si>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</si>
  <si>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</si>
  <si>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</si>
  <si>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</si>
  <si>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</si>
  <si>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</si>
  <si>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</si>
  <si>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</si>
  <si>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</si>
  <si>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</si>
  <si>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Completed</t>
  </si>
  <si>
    <t>"=SUMIFS(H2:H40,H2:H40,"&gt;20")"</t>
  </si>
  <si>
    <t>COL_1: "=LEFT(A16, FIND("-", A16) - 1)"
COL_3: "=MID(A16, FIND("-", A16) + 1, FIND("-", A16, FIND("-", A16) + 1) - FIND("-", A16) - 1)"
COL_4: "=MID(A16, FIND("-", A16, FIND("-", A16) + 1) + 1, FIND("-", A16, FIND("-", A16, FIND("-", A16) + 1) + 1) - FIND("-", A16, FIND("-", A16) + 1) - 1)"
COL_5: "=MID(A16, FIND("-", A16, FIND("-", A16, FIND("-", A16) + 1) + 1) + 1, FIND("-", A16, FIND("-", A16, FIND("-", A16, FIND("-", A16) + 1) + 1) + 1) - FIND("-", A16, FIND("-", A16, FIND("-", A16) + 1) + 1) - 1)"
COL_6: "=MID(A16, FIND("-", A16, FIND("-", A16, FIND("-", A16, FIND("-", A16) + 1) + 1) + 1) + 1, LEN(A16) - FIND("-", A16, FIND("-", A16, FIND("-", A16, FIND("-", A16) + 1) + 1) + 1))"</t>
  </si>
  <si>
    <t>"=IF(ISNA(C12:C21), 20,C12:C21)"</t>
  </si>
  <si>
    <t>New_Sales</t>
  </si>
  <si>
    <t>"IF" and "ISNA" excel functions combination has been used to check for the ERROR values (if any) present in the sales column  of table_A, so that it can be replaced by the value "20". Otherwise the same vale that was presnt earlier is considered and strored in the New_Sales column. Sum of this New_Sales column is provided using the "SUM" excel funtion.</t>
  </si>
  <si>
    <t>"=INDEX($B$10:$J$18, MATCH(VLOOKUP(A23,$M$10:$N$18,2,FALSE),$A$10:$A$18,0),MATCH(VLOOKUP(B23,$M$10:$N$18,2,FALSE),$A$10:$A$18,0))"</t>
  </si>
  <si>
    <t>Combination of "INDEX", "MATCH" and "VLOOKUP" excel function has been used fill the Values column of Table_C. "VLOOKUP" function is used to find the "Name" values corresponding to the "ID" values present in the "name_1" and "name_2" columns of Table_C from Table_B. Now, These resulting values are indexed using "INDEX" funtion and matched using "MATCH" excel function in Table_A to get the respective values according to Table_A.</t>
  </si>
  <si>
    <t>combination of "LEFT", "MID" and "FIND" excel functions have been used to segregate the values in cells ranging from A16 to A 54 into different columns.
LEFT: This function is used to extract the specified number of characters from the beginning (left side) of the cell value.
MID: This function is used to extract the specified number of characters from the specified position within the cell value.
FIND: This function is used to find the position of the substring in the string.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</si>
</sst>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  <xf numFmtId="0" fontId="18" fillId="6" borderId="0" applyNumberFormat="0" applyBorder="0" applyAlignment="0" applyProtection="0"/>
    <xf numFmtId="0" fontId="18" fillId="6" borderId="1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15" fillId="0" borderId="0" xfId="0" applyFont="1" applyAlignment="1">
      <alignment wrapText="1"/>
    </xf>
    <xf numFmtId="0" fontId="18" fillId="6" borderId="0" xfId="11"/>
  </cellXfs>
  <cellStyles count="13">
    <cellStyle name="Good" xfId="11" builtinId="26"/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  <cellStyle name="Style 1" xfId="12" xr:uid="{F5E7BE76-25B7-483A-9F86-27EE6A769DB9}"/>
  </cellStyles>
  <dxfs count="8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4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H42" sqref="H4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2" customWidth="1"/>
    <col min="5" max="5" width="9.1640625" style="1" bestFit="1" customWidth="1"/>
    <col min="6" max="6" width="10.33203125" style="22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A2:C40 E2:X40">
    <cfRule type="cellIs" dxfId="3" priority="4" operator="equal">
      <formula>0</formula>
    </cfRule>
  </conditionalFormatting>
  <conditionalFormatting sqref="A13:C40 E13:X40">
    <cfRule type="cellIs" dxfId="2" priority="3" operator="equal">
      <formula>-1</formula>
    </cfRule>
  </conditionalFormatting>
  <conditionalFormatting sqref="G2:W11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70.6640625" style="1" customWidth="1"/>
    <col min="3" max="3" width="27.6640625" style="1" bestFit="1" customWidth="1"/>
    <col min="4" max="4" width="21.33203125" style="1" customWidth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D3" s="1" t="s">
        <v>177</v>
      </c>
      <c r="E3" s="1">
        <v>5</v>
      </c>
    </row>
    <row r="4" spans="1:5" x14ac:dyDescent="0.25">
      <c r="A4" s="6">
        <v>2</v>
      </c>
      <c r="B4" s="2" t="s">
        <v>46</v>
      </c>
      <c r="C4" s="2"/>
      <c r="D4" s="1" t="s">
        <v>177</v>
      </c>
      <c r="E4" s="1">
        <v>5</v>
      </c>
    </row>
    <row r="5" spans="1:5" x14ac:dyDescent="0.25">
      <c r="A5" s="6">
        <v>3</v>
      </c>
      <c r="B5" s="2" t="s">
        <v>104</v>
      </c>
      <c r="C5" s="32" t="s">
        <v>178</v>
      </c>
      <c r="D5" s="1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D6" s="1" t="s">
        <v>177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L13" sqref="L13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6" t="s">
        <v>162</v>
      </c>
      <c r="B4" s="1"/>
      <c r="C4" s="1"/>
      <c r="D4" s="1"/>
      <c r="E4" s="1"/>
      <c r="F4" s="1"/>
      <c r="G4" s="1"/>
    </row>
    <row r="5" spans="1:7" ht="15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5">
      <c r="A6" s="7" t="s">
        <v>40</v>
      </c>
      <c r="B6" s="10">
        <f>VLOOKUP(A6,Dataset!$A$2:'Dataset'!$X$40,7,FALSE)</f>
        <v>2.7</v>
      </c>
      <c r="C6" s="10">
        <f>VLOOKUP(A6,Dataset!$A$2:$X$40,14,FALSE)</f>
        <v>7.6</v>
      </c>
      <c r="D6" s="10">
        <f>VLOOKUP(A6,Dataset!$A$2:'Dataset'!$X$40,18,FALSE)</f>
        <v>4.2</v>
      </c>
      <c r="E6" s="10">
        <f>VLOOKUP(A6,Dataset!$A$2:'Dataset'!$X$40,20,FALSE)</f>
        <v>8.9</v>
      </c>
      <c r="F6" s="10">
        <f>VLOOKUP(A6,Dataset!$A$2:'Dataset'!$X$40,22,FALSE)</f>
        <v>4.2</v>
      </c>
    </row>
    <row r="7" spans="1:7" ht="15" x14ac:dyDescent="0.25">
      <c r="A7" s="7" t="s">
        <v>4</v>
      </c>
      <c r="B7" s="10">
        <f>VLOOKUP(A7,Dataset!$A$2:'Dataset'!$X$40,7,FALSE)</f>
        <v>2.7</v>
      </c>
      <c r="C7" s="10">
        <f>VLOOKUP(A7,Dataset!$A$2:$X$40,14,FALSE)</f>
        <v>7.6</v>
      </c>
      <c r="D7" s="10">
        <f>VLOOKUP(A7,Dataset!$A$2:'Dataset'!$X$40,18,FALSE)</f>
        <v>4.2</v>
      </c>
      <c r="E7" s="10">
        <f>VLOOKUP(A7,Dataset!$A$2:'Dataset'!$X$40,20,FALSE)</f>
        <v>8.9</v>
      </c>
      <c r="F7" s="10">
        <f>VLOOKUP(A7,Dataset!$A$2:'Dataset'!$X$40,22,FALSE)</f>
        <v>4.2</v>
      </c>
    </row>
    <row r="8" spans="1:7" ht="15" x14ac:dyDescent="0.25">
      <c r="A8" s="7" t="s">
        <v>7</v>
      </c>
      <c r="B8" s="10">
        <f>VLOOKUP(A8,Dataset!$A$2:'Dataset'!$X$40,7,FALSE)</f>
        <v>3.6</v>
      </c>
      <c r="C8" s="10">
        <f>VLOOKUP(A8,Dataset!$A$2:$X$40,14,FALSE)</f>
        <v>11.1</v>
      </c>
      <c r="D8" s="10">
        <f>VLOOKUP(A8,Dataset!$A$2:'Dataset'!$X$40,18,FALSE)</f>
        <v>5.8</v>
      </c>
      <c r="E8" s="10">
        <f>VLOOKUP(A8,Dataset!$A$2:'Dataset'!$X$40,20,FALSE)</f>
        <v>12.2</v>
      </c>
      <c r="F8" s="10">
        <f>VLOOKUP(A8,Dataset!$A$2:'Dataset'!$X$40,22,FALSE)</f>
        <v>5.8</v>
      </c>
    </row>
    <row r="9" spans="1:7" ht="15" x14ac:dyDescent="0.25">
      <c r="A9" s="7" t="s">
        <v>8</v>
      </c>
      <c r="B9" s="10">
        <f>VLOOKUP(A9,Dataset!$A$2:'Dataset'!$X$40,7,FALSE)</f>
        <v>4.9000000000000004</v>
      </c>
      <c r="C9" s="10">
        <f>VLOOKUP(A9,Dataset!$A$2:$X$40,14,FALSE)</f>
        <v>13.3</v>
      </c>
      <c r="D9" s="10">
        <f>VLOOKUP(A9,Dataset!$A$2:'Dataset'!$X$40,18,FALSE)</f>
        <v>8.1</v>
      </c>
      <c r="E9" s="10">
        <f>VLOOKUP(A9,Dataset!$A$2:'Dataset'!$X$40,20,FALSE)</f>
        <v>17</v>
      </c>
      <c r="F9" s="10">
        <f>VLOOKUP(A9,Dataset!$A$2:'Dataset'!$X$40,22,FALSE)</f>
        <v>8.1</v>
      </c>
    </row>
    <row r="10" spans="1:7" ht="15" x14ac:dyDescent="0.25">
      <c r="A10" s="7" t="s">
        <v>11</v>
      </c>
      <c r="B10" s="10">
        <f>VLOOKUP(A10,Dataset!$A$2:'Dataset'!$X$40,7,FALSE)</f>
        <v>9.4</v>
      </c>
      <c r="C10" s="10">
        <f>VLOOKUP(A10,Dataset!$A$2:$X$40,14,FALSE)</f>
        <v>28.3</v>
      </c>
      <c r="D10" s="10">
        <f>VLOOKUP(A10,Dataset!$A$2:'Dataset'!$X$40,18,FALSE)</f>
        <v>16.100000000000001</v>
      </c>
      <c r="E10" s="10">
        <f>VLOOKUP(A10,Dataset!$A$2:'Dataset'!$X$40,20,FALSE)</f>
        <v>32.799999999999997</v>
      </c>
      <c r="F10" s="10">
        <f>VLOOKUP(A10,Dataset!$A$2:'Dataset'!$X$40,22,FALSE)</f>
        <v>16.100000000000001</v>
      </c>
    </row>
    <row r="11" spans="1:7" ht="15" x14ac:dyDescent="0.25">
      <c r="A11" s="7" t="s">
        <v>12</v>
      </c>
      <c r="B11" s="10">
        <f>VLOOKUP(A11,Dataset!$A$2:'Dataset'!$X$40,7,FALSE)</f>
        <v>11.6</v>
      </c>
      <c r="C11" s="10">
        <f>VLOOKUP(A11,Dataset!$A$2:$X$40,14,FALSE)</f>
        <v>35.200000000000003</v>
      </c>
      <c r="D11" s="10">
        <f>VLOOKUP(A11,Dataset!$A$2:'Dataset'!$X$40,18,FALSE)</f>
        <v>21.3</v>
      </c>
      <c r="E11" s="10">
        <f>VLOOKUP(A11,Dataset!$A$2:'Dataset'!$X$40,20,FALSE)</f>
        <v>43</v>
      </c>
      <c r="F11" s="10">
        <f>VLOOKUP(A11,Dataset!$A$2:'Dataset'!$X$40,22,FALSE)</f>
        <v>21.3</v>
      </c>
    </row>
    <row r="12" spans="1:7" ht="15" x14ac:dyDescent="0.25">
      <c r="A12" s="7" t="s">
        <v>14</v>
      </c>
      <c r="B12" s="10">
        <f>VLOOKUP(A12,Dataset!$A$2:'Dataset'!$X$40,7,FALSE)</f>
        <v>18.399999999999999</v>
      </c>
      <c r="C12" s="10">
        <f>VLOOKUP(A12,Dataset!$A$2:$X$40,14,FALSE)</f>
        <v>55.6</v>
      </c>
      <c r="D12" s="10">
        <f>VLOOKUP(A12,Dataset!$A$2:'Dataset'!$X$40,18,FALSE)</f>
        <v>33.799999999999997</v>
      </c>
      <c r="E12" s="10">
        <f>VLOOKUP(A12,Dataset!$A$2:'Dataset'!$X$40,20,FALSE)</f>
        <v>67.900000000000006</v>
      </c>
      <c r="F12" s="10">
        <f>VLOOKUP(A12,Dataset!$A$2:'Dataset'!$X$40,22,FALSE)</f>
        <v>33.799999999999997</v>
      </c>
    </row>
    <row r="13" spans="1:7" ht="15" x14ac:dyDescent="0.25">
      <c r="A13" s="7" t="s">
        <v>15</v>
      </c>
      <c r="B13" s="10">
        <f>VLOOKUP(A13,Dataset!$A$2:'Dataset'!$X$40,7,FALSE)</f>
        <v>0</v>
      </c>
      <c r="C13" s="10">
        <f>VLOOKUP(A13,Dataset!$A$2:$X$40,14,FALSE)</f>
        <v>0</v>
      </c>
      <c r="D13" s="10">
        <f>VLOOKUP(A13,Dataset!$A$2:'Dataset'!$X$40,18,FALSE)</f>
        <v>0</v>
      </c>
      <c r="E13" s="10">
        <f>VLOOKUP(A13,Dataset!$A$2:'Dataset'!$X$40,20,FALSE)</f>
        <v>0</v>
      </c>
      <c r="F13" s="10">
        <f>VLOOKUP(A13,Dataset!$A$2:'Dataset'!$X$40,22,FALSE)</f>
        <v>0</v>
      </c>
    </row>
    <row r="14" spans="1:7" ht="15" x14ac:dyDescent="0.25">
      <c r="A14" s="7" t="s">
        <v>16</v>
      </c>
      <c r="B14" s="10">
        <f>VLOOKUP(A14,Dataset!$A$2:'Dataset'!$X$40,7,FALSE)</f>
        <v>21.9</v>
      </c>
      <c r="C14" s="10">
        <f>VLOOKUP(A14,Dataset!$A$2:$X$40,14,FALSE)</f>
        <v>61.5</v>
      </c>
      <c r="D14" s="10">
        <f>VLOOKUP(A14,Dataset!$A$2:'Dataset'!$X$40,18,FALSE)</f>
        <v>40.1</v>
      </c>
      <c r="E14" s="10">
        <f>VLOOKUP(A14,Dataset!$A$2:'Dataset'!$X$40,20,FALSE)</f>
        <v>76.599999999999994</v>
      </c>
      <c r="F14" s="10">
        <f>VLOOKUP(A14,Dataset!$A$2:'Dataset'!$X$40,22,FALSE)</f>
        <v>40.1</v>
      </c>
    </row>
    <row r="15" spans="1:7" ht="15" x14ac:dyDescent="0.25">
      <c r="A15" s="7" t="s">
        <v>18</v>
      </c>
      <c r="B15" s="10">
        <f>VLOOKUP(A15,Dataset!$A$2:'Dataset'!$X$40,7,FALSE)</f>
        <v>26.8</v>
      </c>
      <c r="C15" s="10">
        <f>VLOOKUP(A15,Dataset!$A$2:$X$40,14,FALSE)</f>
        <v>79.599999999999994</v>
      </c>
      <c r="D15" s="10">
        <f>VLOOKUP(A15,Dataset!$A$2:'Dataset'!$X$40,18,FALSE)</f>
        <v>47.9</v>
      </c>
      <c r="E15" s="10">
        <f>VLOOKUP(A15,Dataset!$A$2:'Dataset'!$X$40,20,FALSE)</f>
        <v>96.8</v>
      </c>
      <c r="F15" s="10">
        <f>VLOOKUP(A15,Dataset!$A$2:'Dataset'!$X$40,22,FALSE)</f>
        <v>47.9</v>
      </c>
    </row>
    <row r="16" spans="1:7" ht="15" x14ac:dyDescent="0.25">
      <c r="A16" s="7" t="s">
        <v>20</v>
      </c>
      <c r="B16" s="10">
        <f>VLOOKUP(A16,Dataset!$A$2:'Dataset'!$X$40,7,FALSE)</f>
        <v>28.5</v>
      </c>
      <c r="C16" s="10">
        <f>VLOOKUP(A16,Dataset!$A$2:$X$40,14,FALSE)</f>
        <v>85.4</v>
      </c>
      <c r="D16" s="10">
        <f>VLOOKUP(A16,Dataset!$A$2:'Dataset'!$X$40,18,FALSE)</f>
        <v>52.3</v>
      </c>
      <c r="E16" s="10">
        <f>VLOOKUP(A16,Dataset!$A$2:'Dataset'!$X$40,20,FALSE)</f>
        <v>106.1</v>
      </c>
      <c r="F16" s="10">
        <f>VLOOKUP(A16,Dataset!$A$2:'Dataset'!$X$40,22,FALSE)</f>
        <v>52.3</v>
      </c>
    </row>
    <row r="17" spans="1:6" ht="15" x14ac:dyDescent="0.25">
      <c r="A17" s="7" t="s">
        <v>22</v>
      </c>
      <c r="B17" s="10">
        <f>VLOOKUP(A17,Dataset!$A$2:'Dataset'!$X$40,7,FALSE)</f>
        <v>30.7</v>
      </c>
      <c r="C17" s="10">
        <f>VLOOKUP(A17,Dataset!$A$2:$X$40,14,FALSE)</f>
        <v>92.1</v>
      </c>
      <c r="D17" s="10">
        <f>VLOOKUP(A17,Dataset!$A$2:'Dataset'!$X$40,18,FALSE)</f>
        <v>57</v>
      </c>
      <c r="E17" s="10">
        <f>VLOOKUP(A17,Dataset!$A$2:'Dataset'!$X$40,20,FALSE)</f>
        <v>115.1</v>
      </c>
      <c r="F17" s="10">
        <f>VLOOKUP(A17,Dataset!$A$2:'Dataset'!$X$40,22,FALSE)</f>
        <v>57</v>
      </c>
    </row>
    <row r="18" spans="1:6" ht="15" x14ac:dyDescent="0.25">
      <c r="A18" s="7" t="s">
        <v>23</v>
      </c>
      <c r="B18" s="10">
        <f>VLOOKUP(A18,Dataset!$A$2:'Dataset'!$X$40,7,FALSE)</f>
        <v>33.799999999999997</v>
      </c>
      <c r="C18" s="10">
        <f>VLOOKUP(A18,Dataset!$A$2:$X$40,14,FALSE)</f>
        <v>101.3</v>
      </c>
      <c r="D18" s="10">
        <f>VLOOKUP(A18,Dataset!$A$2:'Dataset'!$X$40,18,FALSE)</f>
        <v>61.4</v>
      </c>
      <c r="E18" s="10">
        <f>VLOOKUP(A18,Dataset!$A$2:'Dataset'!$X$40,20,FALSE)</f>
        <v>124.4</v>
      </c>
      <c r="F18" s="10">
        <f>VLOOKUP(A18,Dataset!$A$2:'Dataset'!$X$40,22,FALSE)</f>
        <v>61.4</v>
      </c>
    </row>
    <row r="19" spans="1:6" ht="15" x14ac:dyDescent="0.25">
      <c r="A19" s="7" t="s">
        <v>24</v>
      </c>
      <c r="B19" s="10">
        <f>VLOOKUP(A19,Dataset!$A$2:'Dataset'!$X$40,7,FALSE)</f>
        <v>34.700000000000003</v>
      </c>
      <c r="C19" s="10">
        <f>VLOOKUP(A19,Dataset!$A$2:$X$40,14,FALSE)</f>
        <v>106.1</v>
      </c>
      <c r="D19" s="10">
        <f>VLOOKUP(A19,Dataset!$A$2:'Dataset'!$X$40,18,FALSE)</f>
        <v>63.6</v>
      </c>
      <c r="E19" s="10">
        <f>VLOOKUP(A19,Dataset!$A$2:'Dataset'!$X$40,20,FALSE)</f>
        <v>128.6</v>
      </c>
      <c r="F19" s="10">
        <f>VLOOKUP(A19,Dataset!$A$2:'Dataset'!$X$40,22,FALSE)</f>
        <v>63.6</v>
      </c>
    </row>
    <row r="20" spans="1:6" ht="15" x14ac:dyDescent="0.25">
      <c r="A20" s="7" t="s">
        <v>28</v>
      </c>
      <c r="B20" s="10">
        <f>VLOOKUP(A20,Dataset!$A$2:'Dataset'!$X$40,7,FALSE)</f>
        <v>0</v>
      </c>
      <c r="C20" s="10">
        <f>VLOOKUP(A20,Dataset!$A$2:$X$40,14,FALSE)</f>
        <v>0</v>
      </c>
      <c r="D20" s="10">
        <f>VLOOKUP(A20,Dataset!$A$2:'Dataset'!$X$40,18,FALSE)</f>
        <v>0</v>
      </c>
      <c r="E20" s="10">
        <f>VLOOKUP(A20,Dataset!$A$2:'Dataset'!$X$40,20,FALSE)</f>
        <v>0</v>
      </c>
      <c r="F20" s="10">
        <f>VLOOKUP(A20,Dataset!$A$2:'Dataset'!$X$40,22,FALSE)</f>
        <v>0</v>
      </c>
    </row>
    <row r="21" spans="1:6" ht="15" x14ac:dyDescent="0.25">
      <c r="A21" s="7" t="s">
        <v>57</v>
      </c>
      <c r="B21" s="10">
        <f>VLOOKUP(A21,Dataset!$A$2:'Dataset'!$X$40,7,FALSE)</f>
        <v>41.3</v>
      </c>
      <c r="C21" s="10">
        <f>VLOOKUP(A21,Dataset!$A$2:$X$40,14,FALSE)</f>
        <v>124.4</v>
      </c>
      <c r="D21" s="10">
        <f>VLOOKUP(A21,Dataset!$A$2:'Dataset'!$X$40,18,FALSE)</f>
        <v>75</v>
      </c>
      <c r="E21" s="10">
        <f>VLOOKUP(A21,Dataset!$A$2:'Dataset'!$X$40,20,FALSE)</f>
        <v>151.5</v>
      </c>
      <c r="F21" s="10">
        <f>VLOOKUP(A21,Dataset!$A$2:'Dataset'!$X$40,22,FALSE)</f>
        <v>75</v>
      </c>
    </row>
    <row r="22" spans="1:6" ht="15" x14ac:dyDescent="0.25">
      <c r="A22" s="7" t="s">
        <v>58</v>
      </c>
      <c r="B22" s="10">
        <f>VLOOKUP(A22,Dataset!$A$2:'Dataset'!$X$40,7,FALSE)</f>
        <v>-1</v>
      </c>
      <c r="C22" s="10">
        <f>VLOOKUP(A22,Dataset!$A$2:$X$40,14,FALSE)</f>
        <v>-1</v>
      </c>
      <c r="D22" s="10">
        <f>VLOOKUP(A22,Dataset!$A$2:'Dataset'!$X$40,18,FALSE)</f>
        <v>-1</v>
      </c>
      <c r="E22" s="10">
        <f>VLOOKUP(A22,Dataset!$A$2:'Dataset'!$X$40,20,FALSE)</f>
        <v>-1</v>
      </c>
      <c r="F22" s="10">
        <f>VLOOKUP(A22,Dataset!$A$2:'Dataset'!$X$40,22,FALSE)</f>
        <v>-1</v>
      </c>
    </row>
    <row r="23" spans="1:6" ht="15" x14ac:dyDescent="0.25">
      <c r="A23" s="7" t="s">
        <v>31</v>
      </c>
      <c r="B23" s="10">
        <f>VLOOKUP(A23,Dataset!$A$2:'Dataset'!$X$40,7,FALSE)</f>
        <v>45</v>
      </c>
      <c r="C23" s="10">
        <f>VLOOKUP(A23,Dataset!$A$2:$X$40,14,FALSE)</f>
        <v>133.4</v>
      </c>
      <c r="D23" s="10">
        <f>VLOOKUP(A23,Dataset!$A$2:'Dataset'!$X$40,18,FALSE)</f>
        <v>79.400000000000006</v>
      </c>
      <c r="E23" s="10">
        <f>VLOOKUP(A23,Dataset!$A$2:'Dataset'!$X$40,20,FALSE)</f>
        <v>160.9</v>
      </c>
      <c r="F23" s="10">
        <f>VLOOKUP(A23,Dataset!$A$2:'Dataset'!$X$40,22,FALSE)</f>
        <v>79.400000000000006</v>
      </c>
    </row>
    <row r="24" spans="1:6" ht="15" x14ac:dyDescent="0.25">
      <c r="A24" s="7" t="s">
        <v>32</v>
      </c>
      <c r="B24" s="10">
        <f>VLOOKUP(A24,Dataset!$A$2:'Dataset'!$X$40,7,FALSE)</f>
        <v>-1</v>
      </c>
      <c r="C24" s="10">
        <f>VLOOKUP(A24,Dataset!$A$2:$X$40,14,FALSE)</f>
        <v>-1</v>
      </c>
      <c r="D24" s="10">
        <f>VLOOKUP(A24,Dataset!$A$2:'Dataset'!$X$40,18,FALSE)</f>
        <v>-1</v>
      </c>
      <c r="E24" s="10">
        <f>VLOOKUP(A24,Dataset!$A$2:'Dataset'!$X$40,20,FALSE)</f>
        <v>-1</v>
      </c>
      <c r="F24" s="10">
        <f>VLOOKUP(A24,Dataset!$A$2:'Dataset'!$X$40,22,FALSE)</f>
        <v>-1</v>
      </c>
    </row>
    <row r="25" spans="1:6" ht="15" x14ac:dyDescent="0.25">
      <c r="A25" s="7" t="s">
        <v>34</v>
      </c>
      <c r="B25" s="10">
        <f>VLOOKUP(A25,Dataset!$A$2:'Dataset'!$X$40,7,FALSE)</f>
        <v>43.3</v>
      </c>
      <c r="C25" s="10">
        <f>VLOOKUP(A25,Dataset!$A$2:$X$40,14,FALSE)</f>
        <v>128.6</v>
      </c>
      <c r="D25" s="10">
        <f>VLOOKUP(A25,Dataset!$A$2:'Dataset'!$X$40,18,FALSE)</f>
        <v>79.400000000000006</v>
      </c>
      <c r="E25" s="10">
        <f>VLOOKUP(A25,Dataset!$A$2:'Dataset'!$X$40,20,FALSE)</f>
        <v>160.9</v>
      </c>
      <c r="F25" s="10">
        <f>VLOOKUP(A25,Dataset!$A$2:'Dataset'!$X$40,22,FALSE)</f>
        <v>79.400000000000006</v>
      </c>
    </row>
    <row r="26" spans="1:6" ht="15" x14ac:dyDescent="0.25">
      <c r="A26" s="7" t="s">
        <v>37</v>
      </c>
      <c r="B26" s="10">
        <f>VLOOKUP(A26,Dataset!$A$2:'Dataset'!$X$40,7,FALSE)</f>
        <v>49.1</v>
      </c>
      <c r="C26" s="10">
        <f>VLOOKUP(A26,Dataset!$A$2:$X$40,14,FALSE)</f>
        <v>146.80000000000001</v>
      </c>
      <c r="D26" s="10">
        <f>VLOOKUP(A26,Dataset!$A$2:'Dataset'!$X$40,18,FALSE)</f>
        <v>90.9</v>
      </c>
      <c r="E26" s="10">
        <f>VLOOKUP(A26,Dataset!$A$2:'Dataset'!$X$40,20,FALSE)</f>
        <v>183.5</v>
      </c>
      <c r="F26" s="10">
        <f>VLOOKUP(A26,Dataset!$A$2:'Dataset'!$X$40,22,FALSE)</f>
        <v>90.9</v>
      </c>
    </row>
    <row r="27" spans="1:6" ht="15" x14ac:dyDescent="0.25">
      <c r="A27" s="7" t="s">
        <v>39</v>
      </c>
      <c r="B27" s="10">
        <f>VLOOKUP(A27,Dataset!$A$2:'Dataset'!$X$40,7,FALSE)</f>
        <v>51.8</v>
      </c>
      <c r="C27" s="10">
        <f>VLOOKUP(A27,Dataset!$A$2:$X$40,14,FALSE)</f>
        <v>156.4</v>
      </c>
      <c r="D27" s="10">
        <f>VLOOKUP(A27,Dataset!$A$2:'Dataset'!$X$40,18,FALSE)</f>
        <v>93.1</v>
      </c>
      <c r="E27" s="10">
        <f>VLOOKUP(A27,Dataset!$A$2:'Dataset'!$X$40,20,FALSE)</f>
        <v>188.1</v>
      </c>
      <c r="F27" s="10">
        <f>VLOOKUP(A27,Dataset!$A$2:'Dataset'!$X$40,22,FALSE)</f>
        <v>93.1</v>
      </c>
    </row>
    <row r="28" spans="1:6" ht="15" x14ac:dyDescent="0.25">
      <c r="A28" s="17" t="s">
        <v>82</v>
      </c>
      <c r="B28" s="29">
        <f>MIN($B6:$B27)</f>
        <v>-1</v>
      </c>
      <c r="C28" s="29">
        <f t="shared" ref="C28:D28" si="0">MIN($B6:$B27)</f>
        <v>-1</v>
      </c>
      <c r="D28" s="29">
        <f t="shared" si="0"/>
        <v>-1</v>
      </c>
      <c r="E28" s="29">
        <f t="shared" ref="E28" si="1">MIN($B6:$B27)</f>
        <v>-1</v>
      </c>
      <c r="F28" s="29">
        <f t="shared" ref="F28" si="2">MIN($B6:$B27)</f>
        <v>-1</v>
      </c>
    </row>
    <row r="29" spans="1:6" ht="15" x14ac:dyDescent="0.25">
      <c r="A29" s="17" t="s">
        <v>83</v>
      </c>
      <c r="B29" s="29">
        <f>MAX(B6:B27)</f>
        <v>51.8</v>
      </c>
      <c r="C29" s="29">
        <f t="shared" ref="C29:F29" si="3">MAX(C6:C27)</f>
        <v>156.4</v>
      </c>
      <c r="D29" s="29">
        <f t="shared" si="3"/>
        <v>93.1</v>
      </c>
      <c r="E29" s="29">
        <f t="shared" si="3"/>
        <v>188.1</v>
      </c>
      <c r="F29" s="29">
        <f t="shared" si="3"/>
        <v>93.1</v>
      </c>
    </row>
    <row r="30" spans="1:6" ht="15" x14ac:dyDescent="0.25">
      <c r="A30" s="17" t="s">
        <v>84</v>
      </c>
      <c r="B30" s="29">
        <f>AVERAGE(B6:B27)</f>
        <v>20.827272727272728</v>
      </c>
      <c r="C30" s="29">
        <f t="shared" ref="C30:F30" si="4">AVERAGE(C6:C27)</f>
        <v>62.377272727272725</v>
      </c>
      <c r="D30" s="29">
        <f t="shared" si="4"/>
        <v>37.800000000000004</v>
      </c>
      <c r="E30" s="29">
        <f t="shared" si="4"/>
        <v>76.418181818181822</v>
      </c>
      <c r="F30" s="29">
        <f t="shared" si="4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7"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2" width="14.6640625" style="1" customWidth="1"/>
    <col min="3" max="5" width="11" style="1"/>
    <col min="6" max="6" width="22.5" style="1" customWidth="1"/>
    <col min="7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21" customHeight="1" x14ac:dyDescent="0.3">
      <c r="A5" s="41" t="s">
        <v>53</v>
      </c>
      <c r="B5" s="44" t="s">
        <v>179</v>
      </c>
      <c r="C5" s="38"/>
      <c r="D5" s="38"/>
      <c r="E5" s="38"/>
      <c r="F5" s="38"/>
      <c r="G5" s="38"/>
      <c r="H5" s="38"/>
      <c r="I5" s="38"/>
      <c r="J5" s="38"/>
    </row>
    <row r="6" spans="1:10" ht="15.75" customHeight="1" x14ac:dyDescent="0.3">
      <c r="A6" s="41" t="s">
        <v>153</v>
      </c>
      <c r="B6" s="44" t="s">
        <v>185</v>
      </c>
    </row>
    <row r="7" spans="1:10" ht="18.75" x14ac:dyDescent="0.3">
      <c r="A7" s="41"/>
      <c r="B7" s="38"/>
    </row>
    <row r="8" spans="1:10" ht="17.25" customHeight="1" x14ac:dyDescent="0.25"/>
    <row r="9" spans="1:10" ht="23.25" x14ac:dyDescent="0.35">
      <c r="A9" s="16" t="s">
        <v>165</v>
      </c>
      <c r="I9" s="2"/>
      <c r="J9" s="2"/>
    </row>
    <row r="10" spans="1:10" x14ac:dyDescent="0.25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 x14ac:dyDescent="0.35">
      <c r="A14" s="16" t="s">
        <v>162</v>
      </c>
    </row>
    <row r="15" spans="1:10" x14ac:dyDescent="0.2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25">
      <c r="A16" s="7" t="s">
        <v>121</v>
      </c>
      <c r="B16" s="10" t="str">
        <f>LEFT(A16, FIND("-", A16) - 1)</f>
        <v>20000</v>
      </c>
      <c r="C16" s="1" t="str">
        <f>MID(A16, FIND("-", A16) + 1, FIND("-", A16, FIND("-", A16) + 1) - FIND("-", A16) - 1)</f>
        <v>Monday</v>
      </c>
      <c r="D16" s="10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0" t="str">
        <f>MID(A16, FIND("-", A16, FIND("-", A16, FIND("-", A16, FIND("-", A16) + 1) + 1) + 1) + 1, LEN(A16) - FIND("-", A16, FIND("-", A16, FIND("-", A16, FIND("-", A16) + 1) + 1) + 1))</f>
        <v>24</v>
      </c>
    </row>
    <row r="17" spans="1:6" x14ac:dyDescent="0.25">
      <c r="A17" s="7" t="s">
        <v>122</v>
      </c>
      <c r="B17" s="10" t="str">
        <f>LEFT(A17, FIND("-", A17) - 1)</f>
        <v>20002</v>
      </c>
      <c r="C17" s="1" t="str">
        <f t="shared" ref="C17:C54" si="0">MID(A17, FIND("-", A17) + 1, FIND("-", A17, FIND("-", A17) + 1) - FIND("-", A17) - 1)</f>
        <v>Monday</v>
      </c>
      <c r="D17" s="10" t="str">
        <f t="shared" ref="D17:D54" si="1">MID(A17, FIND("-", A17, FIND("-", A17) + 1) + 1, FIND("-", A17, FIND("-", A17, FIND("-", A17) + 1) + 1) - FIND("-", A17, FIND("-", A17) + 1) - 1)</f>
        <v>0</v>
      </c>
      <c r="E17" s="1" t="str">
        <f t="shared" ref="E17:E54" si="2">MID(A17, FIND("-", A17, FIND("-", A17, FIND("-", A17) + 1) + 1) + 1, FIND("-", A17, FIND("-", A17, FIND("-", A17, FIND("-", A17) + 1) + 1) + 1) - FIND("-", A17, FIND("-", A17, FIND("-", A17) + 1) + 1) - 1)</f>
        <v>Sunday</v>
      </c>
      <c r="F17" s="10" t="str">
        <f t="shared" ref="F17:F54" si="3">MID(A17, FIND("-", A17, FIND("-", A17, FIND("-", A17, FIND("-", A17) + 1) + 1) + 1) + 1, LEN(A17) - FIND("-", A17, FIND("-", A17, FIND("-", A17, FIND("-", A17) + 1) + 1) + 1))</f>
        <v>24</v>
      </c>
    </row>
    <row r="18" spans="1:6" x14ac:dyDescent="0.25">
      <c r="A18" s="7" t="s">
        <v>123</v>
      </c>
      <c r="B18" s="10" t="str">
        <f t="shared" ref="B18:B54" si="4">LEFT(A18, FIND("-", A18) - 1)</f>
        <v>20004</v>
      </c>
      <c r="C18" s="1" t="str">
        <f t="shared" si="0"/>
        <v>Monday</v>
      </c>
      <c r="D18" s="10" t="str">
        <f t="shared" si="1"/>
        <v>0</v>
      </c>
      <c r="E18" s="1" t="str">
        <f t="shared" si="2"/>
        <v>Sunday</v>
      </c>
      <c r="F18" s="10" t="str">
        <f t="shared" si="3"/>
        <v>24</v>
      </c>
    </row>
    <row r="19" spans="1:6" x14ac:dyDescent="0.25">
      <c r="A19" s="7" t="s">
        <v>124</v>
      </c>
      <c r="B19" s="10" t="str">
        <f t="shared" si="4"/>
        <v>20006</v>
      </c>
      <c r="C19" s="1" t="str">
        <f t="shared" si="0"/>
        <v>Monday</v>
      </c>
      <c r="D19" s="10" t="str">
        <f t="shared" si="1"/>
        <v>0</v>
      </c>
      <c r="E19" s="1" t="str">
        <f t="shared" si="2"/>
        <v>Sunday</v>
      </c>
      <c r="F19" s="10" t="str">
        <f t="shared" si="3"/>
        <v>24</v>
      </c>
    </row>
    <row r="20" spans="1:6" x14ac:dyDescent="0.25">
      <c r="A20" s="7" t="s">
        <v>125</v>
      </c>
      <c r="B20" s="10" t="str">
        <f t="shared" si="4"/>
        <v>20008</v>
      </c>
      <c r="C20" s="1" t="str">
        <f t="shared" si="0"/>
        <v>Monday</v>
      </c>
      <c r="D20" s="10" t="str">
        <f t="shared" si="1"/>
        <v>0</v>
      </c>
      <c r="E20" s="1" t="str">
        <f t="shared" si="2"/>
        <v>Sunday</v>
      </c>
      <c r="F20" s="10" t="str">
        <f t="shared" si="3"/>
        <v>24</v>
      </c>
    </row>
    <row r="21" spans="1:6" x14ac:dyDescent="0.25">
      <c r="A21" s="7" t="s">
        <v>126</v>
      </c>
      <c r="B21" s="10" t="str">
        <f t="shared" si="4"/>
        <v>20010</v>
      </c>
      <c r="C21" s="1" t="str">
        <f t="shared" si="0"/>
        <v>Monday</v>
      </c>
      <c r="D21" s="10" t="str">
        <f t="shared" si="1"/>
        <v>0</v>
      </c>
      <c r="E21" s="1" t="str">
        <f t="shared" si="2"/>
        <v>Sunday</v>
      </c>
      <c r="F21" s="10" t="str">
        <f t="shared" si="3"/>
        <v>24</v>
      </c>
    </row>
    <row r="22" spans="1:6" x14ac:dyDescent="0.25">
      <c r="A22" s="7" t="s">
        <v>127</v>
      </c>
      <c r="B22" s="10" t="str">
        <f t="shared" si="4"/>
        <v>20012</v>
      </c>
      <c r="C22" s="1" t="str">
        <f t="shared" si="0"/>
        <v>Monday</v>
      </c>
      <c r="D22" s="10" t="str">
        <f t="shared" si="1"/>
        <v>0</v>
      </c>
      <c r="E22" s="1" t="str">
        <f t="shared" si="2"/>
        <v>Sunday</v>
      </c>
      <c r="F22" s="10" t="str">
        <f t="shared" si="3"/>
        <v>24</v>
      </c>
    </row>
    <row r="23" spans="1:6" x14ac:dyDescent="0.25">
      <c r="A23" s="7" t="s">
        <v>128</v>
      </c>
      <c r="B23" s="10" t="str">
        <f t="shared" si="4"/>
        <v>20014</v>
      </c>
      <c r="C23" s="1" t="str">
        <f t="shared" si="0"/>
        <v>Monday</v>
      </c>
      <c r="D23" s="10" t="str">
        <f t="shared" si="1"/>
        <v>0</v>
      </c>
      <c r="E23" s="1" t="str">
        <f t="shared" si="2"/>
        <v>Sunday</v>
      </c>
      <c r="F23" s="10" t="str">
        <f t="shared" si="3"/>
        <v>24</v>
      </c>
    </row>
    <row r="24" spans="1:6" x14ac:dyDescent="0.25">
      <c r="A24" s="7" t="s">
        <v>129</v>
      </c>
      <c r="B24" s="10" t="str">
        <f t="shared" si="4"/>
        <v>20016</v>
      </c>
      <c r="C24" s="1" t="str">
        <f t="shared" si="0"/>
        <v>Monday</v>
      </c>
      <c r="D24" s="10" t="str">
        <f t="shared" si="1"/>
        <v>0</v>
      </c>
      <c r="E24" s="1" t="str">
        <f t="shared" si="2"/>
        <v>Sunday</v>
      </c>
      <c r="F24" s="10" t="str">
        <f t="shared" si="3"/>
        <v>24</v>
      </c>
    </row>
    <row r="25" spans="1:6" x14ac:dyDescent="0.25">
      <c r="A25" s="7" t="s">
        <v>130</v>
      </c>
      <c r="B25" s="10" t="str">
        <f t="shared" si="4"/>
        <v>20018</v>
      </c>
      <c r="C25" s="1" t="str">
        <f t="shared" si="0"/>
        <v>Monday</v>
      </c>
      <c r="D25" s="10" t="str">
        <f t="shared" si="1"/>
        <v>0</v>
      </c>
      <c r="E25" s="1" t="str">
        <f t="shared" si="2"/>
        <v>Sunday</v>
      </c>
      <c r="F25" s="10" t="str">
        <f t="shared" si="3"/>
        <v>24</v>
      </c>
    </row>
    <row r="26" spans="1:6" x14ac:dyDescent="0.25">
      <c r="A26" s="7" t="s">
        <v>131</v>
      </c>
      <c r="B26" s="10" t="str">
        <f t="shared" si="4"/>
        <v>20020</v>
      </c>
      <c r="C26" s="1" t="str">
        <f t="shared" si="0"/>
        <v>Monday</v>
      </c>
      <c r="D26" s="10" t="str">
        <f t="shared" si="1"/>
        <v>0</v>
      </c>
      <c r="E26" s="1" t="str">
        <f t="shared" si="2"/>
        <v>Sunday</v>
      </c>
      <c r="F26" s="10" t="str">
        <f t="shared" si="3"/>
        <v>24</v>
      </c>
    </row>
    <row r="27" spans="1:6" x14ac:dyDescent="0.25">
      <c r="A27" s="7" t="s">
        <v>132</v>
      </c>
      <c r="B27" s="10" t="str">
        <f t="shared" si="4"/>
        <v>20022</v>
      </c>
      <c r="C27" s="1" t="str">
        <f t="shared" si="0"/>
        <v>Monday</v>
      </c>
      <c r="D27" s="10" t="str">
        <f t="shared" si="1"/>
        <v>0</v>
      </c>
      <c r="E27" s="1" t="str">
        <f t="shared" si="2"/>
        <v>Sunday</v>
      </c>
      <c r="F27" s="10" t="str">
        <f t="shared" si="3"/>
        <v>24</v>
      </c>
    </row>
    <row r="28" spans="1:6" x14ac:dyDescent="0.25">
      <c r="A28" s="7" t="s">
        <v>133</v>
      </c>
      <c r="B28" s="10" t="str">
        <f t="shared" si="4"/>
        <v>20024</v>
      </c>
      <c r="C28" s="1" t="str">
        <f t="shared" si="0"/>
        <v>Monday</v>
      </c>
      <c r="D28" s="10" t="str">
        <f t="shared" si="1"/>
        <v>0</v>
      </c>
      <c r="E28" s="1" t="str">
        <f t="shared" si="2"/>
        <v>Sunday</v>
      </c>
      <c r="F28" s="10" t="str">
        <f t="shared" si="3"/>
        <v>24</v>
      </c>
    </row>
    <row r="29" spans="1:6" x14ac:dyDescent="0.25">
      <c r="A29" s="7" t="s">
        <v>134</v>
      </c>
      <c r="B29" s="10" t="str">
        <f t="shared" si="4"/>
        <v>20026</v>
      </c>
      <c r="C29" s="1" t="str">
        <f t="shared" si="0"/>
        <v>Monday</v>
      </c>
      <c r="D29" s="10" t="str">
        <f t="shared" si="1"/>
        <v>0</v>
      </c>
      <c r="E29" s="1" t="str">
        <f t="shared" si="2"/>
        <v>Sunday</v>
      </c>
      <c r="F29" s="10" t="str">
        <f t="shared" si="3"/>
        <v>24</v>
      </c>
    </row>
    <row r="30" spans="1:6" x14ac:dyDescent="0.25">
      <c r="A30" s="7" t="s">
        <v>135</v>
      </c>
      <c r="B30" s="10" t="str">
        <f t="shared" si="4"/>
        <v>20028</v>
      </c>
      <c r="C30" s="1" t="str">
        <f t="shared" si="0"/>
        <v>Monday</v>
      </c>
      <c r="D30" s="10" t="str">
        <f t="shared" si="1"/>
        <v>0</v>
      </c>
      <c r="E30" s="1" t="str">
        <f t="shared" si="2"/>
        <v>Sunday</v>
      </c>
      <c r="F30" s="10" t="str">
        <f t="shared" si="3"/>
        <v>24</v>
      </c>
    </row>
    <row r="31" spans="1:6" x14ac:dyDescent="0.25">
      <c r="A31" s="7" t="s">
        <v>136</v>
      </c>
      <c r="B31" s="10" t="str">
        <f t="shared" si="4"/>
        <v>20030</v>
      </c>
      <c r="C31" s="1" t="str">
        <f t="shared" si="0"/>
        <v>Monday</v>
      </c>
      <c r="D31" s="10" t="str">
        <f t="shared" si="1"/>
        <v>0</v>
      </c>
      <c r="E31" s="1" t="str">
        <f t="shared" si="2"/>
        <v>Sunday</v>
      </c>
      <c r="F31" s="10" t="str">
        <f t="shared" si="3"/>
        <v>24</v>
      </c>
    </row>
    <row r="32" spans="1:6" x14ac:dyDescent="0.25">
      <c r="A32" s="7" t="s">
        <v>137</v>
      </c>
      <c r="B32" s="10" t="str">
        <f t="shared" si="4"/>
        <v>20032</v>
      </c>
      <c r="C32" s="1" t="str">
        <f t="shared" si="0"/>
        <v>Monday</v>
      </c>
      <c r="D32" s="10" t="str">
        <f t="shared" si="1"/>
        <v>0</v>
      </c>
      <c r="E32" s="1" t="str">
        <f t="shared" si="2"/>
        <v>Sunday</v>
      </c>
      <c r="F32" s="10" t="str">
        <f t="shared" si="3"/>
        <v>24</v>
      </c>
    </row>
    <row r="33" spans="1:6" x14ac:dyDescent="0.25">
      <c r="A33" s="7" t="s">
        <v>138</v>
      </c>
      <c r="B33" s="10" t="str">
        <f t="shared" si="4"/>
        <v>20034</v>
      </c>
      <c r="C33" s="1" t="str">
        <f t="shared" si="0"/>
        <v>Monday</v>
      </c>
      <c r="D33" s="10" t="str">
        <f t="shared" si="1"/>
        <v>0</v>
      </c>
      <c r="E33" s="1" t="str">
        <f t="shared" si="2"/>
        <v>Sunday</v>
      </c>
      <c r="F33" s="10" t="str">
        <f t="shared" si="3"/>
        <v>24</v>
      </c>
    </row>
    <row r="34" spans="1:6" x14ac:dyDescent="0.25">
      <c r="A34" s="7" t="s">
        <v>139</v>
      </c>
      <c r="B34" s="10" t="str">
        <f t="shared" si="4"/>
        <v>20036</v>
      </c>
      <c r="C34" s="1" t="str">
        <f t="shared" si="0"/>
        <v>Monday</v>
      </c>
      <c r="D34" s="10" t="str">
        <f t="shared" si="1"/>
        <v>0</v>
      </c>
      <c r="E34" s="1" t="str">
        <f t="shared" si="2"/>
        <v>Sunday</v>
      </c>
      <c r="F34" s="10" t="str">
        <f t="shared" si="3"/>
        <v>24</v>
      </c>
    </row>
    <row r="35" spans="1:6" x14ac:dyDescent="0.25">
      <c r="A35" s="7" t="s">
        <v>140</v>
      </c>
      <c r="B35" s="10" t="str">
        <f t="shared" si="4"/>
        <v>20038</v>
      </c>
      <c r="C35" s="1" t="str">
        <f t="shared" si="0"/>
        <v>Monday</v>
      </c>
      <c r="D35" s="10" t="str">
        <f t="shared" si="1"/>
        <v>0</v>
      </c>
      <c r="E35" s="1" t="str">
        <f t="shared" si="2"/>
        <v>Sunday</v>
      </c>
      <c r="F35" s="10" t="str">
        <f t="shared" si="3"/>
        <v>24</v>
      </c>
    </row>
    <row r="36" spans="1:6" x14ac:dyDescent="0.25">
      <c r="A36" s="7" t="s">
        <v>141</v>
      </c>
      <c r="B36" s="10" t="str">
        <f t="shared" si="4"/>
        <v>20040</v>
      </c>
      <c r="C36" s="1" t="str">
        <f t="shared" si="0"/>
        <v>Monday</v>
      </c>
      <c r="D36" s="10" t="str">
        <f t="shared" si="1"/>
        <v>0</v>
      </c>
      <c r="E36" s="1" t="str">
        <f t="shared" si="2"/>
        <v>Sunday</v>
      </c>
      <c r="F36" s="10" t="str">
        <f t="shared" si="3"/>
        <v>24</v>
      </c>
    </row>
    <row r="37" spans="1:6" x14ac:dyDescent="0.25">
      <c r="A37" s="7" t="s">
        <v>142</v>
      </c>
      <c r="B37" s="10" t="str">
        <f t="shared" si="4"/>
        <v>20042</v>
      </c>
      <c r="C37" s="1" t="str">
        <f t="shared" si="0"/>
        <v>Monday</v>
      </c>
      <c r="D37" s="10" t="str">
        <f t="shared" si="1"/>
        <v>0</v>
      </c>
      <c r="E37" s="1" t="str">
        <f t="shared" si="2"/>
        <v>Sunday</v>
      </c>
      <c r="F37" s="10" t="str">
        <f t="shared" si="3"/>
        <v>24</v>
      </c>
    </row>
    <row r="38" spans="1:6" x14ac:dyDescent="0.25">
      <c r="A38" s="7" t="s">
        <v>143</v>
      </c>
      <c r="B38" s="10" t="str">
        <f t="shared" si="4"/>
        <v>20044</v>
      </c>
      <c r="C38" s="1" t="str">
        <f t="shared" si="0"/>
        <v>Monday</v>
      </c>
      <c r="D38" s="10" t="str">
        <f t="shared" si="1"/>
        <v>0</v>
      </c>
      <c r="E38" s="1" t="str">
        <f t="shared" si="2"/>
        <v>Sunday</v>
      </c>
      <c r="F38" s="10" t="str">
        <f t="shared" si="3"/>
        <v>24</v>
      </c>
    </row>
    <row r="39" spans="1:6" x14ac:dyDescent="0.25">
      <c r="A39" s="7" t="s">
        <v>144</v>
      </c>
      <c r="B39" s="10" t="str">
        <f t="shared" si="4"/>
        <v>20046</v>
      </c>
      <c r="C39" s="1" t="str">
        <f t="shared" si="0"/>
        <v>Monday</v>
      </c>
      <c r="D39" s="10" t="str">
        <f t="shared" si="1"/>
        <v>0</v>
      </c>
      <c r="E39" s="1" t="str">
        <f t="shared" si="2"/>
        <v>Sunday</v>
      </c>
      <c r="F39" s="10" t="str">
        <f t="shared" si="3"/>
        <v>24</v>
      </c>
    </row>
    <row r="40" spans="1:6" x14ac:dyDescent="0.25">
      <c r="A40" s="7" t="s">
        <v>145</v>
      </c>
      <c r="B40" s="10" t="str">
        <f t="shared" si="4"/>
        <v>20048</v>
      </c>
      <c r="C40" s="1" t="str">
        <f t="shared" si="0"/>
        <v>Monday</v>
      </c>
      <c r="D40" s="10" t="str">
        <f t="shared" si="1"/>
        <v>0</v>
      </c>
      <c r="E40" s="1" t="str">
        <f t="shared" si="2"/>
        <v>Sunday</v>
      </c>
      <c r="F40" s="10" t="str">
        <f t="shared" si="3"/>
        <v>24</v>
      </c>
    </row>
    <row r="41" spans="1:6" x14ac:dyDescent="0.25">
      <c r="A41" s="7" t="s">
        <v>146</v>
      </c>
      <c r="B41" s="10" t="str">
        <f t="shared" si="4"/>
        <v>20050</v>
      </c>
      <c r="C41" s="1" t="str">
        <f t="shared" si="0"/>
        <v>Monday</v>
      </c>
      <c r="D41" s="10" t="str">
        <f t="shared" si="1"/>
        <v>0</v>
      </c>
      <c r="E41" s="1" t="str">
        <f t="shared" si="2"/>
        <v>Sunday</v>
      </c>
      <c r="F41" s="10" t="str">
        <f t="shared" si="3"/>
        <v>24</v>
      </c>
    </row>
    <row r="42" spans="1:6" x14ac:dyDescent="0.25">
      <c r="A42" s="7" t="s">
        <v>147</v>
      </c>
      <c r="B42" s="10" t="str">
        <f t="shared" si="4"/>
        <v>20052</v>
      </c>
      <c r="C42" s="1" t="str">
        <f t="shared" si="0"/>
        <v>Monday</v>
      </c>
      <c r="D42" s="10" t="str">
        <f t="shared" si="1"/>
        <v>0</v>
      </c>
      <c r="E42" s="1" t="str">
        <f t="shared" si="2"/>
        <v>Sunday</v>
      </c>
      <c r="F42" s="10" t="str">
        <f t="shared" si="3"/>
        <v>24</v>
      </c>
    </row>
    <row r="43" spans="1:6" x14ac:dyDescent="0.25">
      <c r="A43" s="7" t="s">
        <v>148</v>
      </c>
      <c r="B43" s="10" t="str">
        <f t="shared" si="4"/>
        <v>20054</v>
      </c>
      <c r="C43" s="1" t="str">
        <f t="shared" si="0"/>
        <v>Monday</v>
      </c>
      <c r="D43" s="10" t="str">
        <f t="shared" si="1"/>
        <v>0</v>
      </c>
      <c r="E43" s="1" t="str">
        <f t="shared" si="2"/>
        <v>Sunday</v>
      </c>
      <c r="F43" s="10" t="str">
        <f t="shared" si="3"/>
        <v>24</v>
      </c>
    </row>
    <row r="44" spans="1:6" x14ac:dyDescent="0.25">
      <c r="A44" s="7" t="s">
        <v>149</v>
      </c>
      <c r="B44" s="10" t="str">
        <f t="shared" si="4"/>
        <v>20058</v>
      </c>
      <c r="C44" s="1" t="str">
        <f t="shared" si="0"/>
        <v>Monday</v>
      </c>
      <c r="D44" s="10" t="str">
        <f t="shared" si="1"/>
        <v>0</v>
      </c>
      <c r="E44" s="1" t="str">
        <f t="shared" si="2"/>
        <v>Sunday</v>
      </c>
      <c r="F44" s="10" t="str">
        <f t="shared" si="3"/>
        <v>24</v>
      </c>
    </row>
    <row r="45" spans="1:6" x14ac:dyDescent="0.25">
      <c r="A45" s="7" t="s">
        <v>150</v>
      </c>
      <c r="B45" s="10" t="str">
        <f t="shared" si="4"/>
        <v>20060</v>
      </c>
      <c r="C45" s="1" t="str">
        <f t="shared" si="0"/>
        <v>Monday</v>
      </c>
      <c r="D45" s="10" t="str">
        <f t="shared" si="1"/>
        <v>0</v>
      </c>
      <c r="E45" s="1" t="str">
        <f t="shared" si="2"/>
        <v>Sunday</v>
      </c>
      <c r="F45" s="10" t="str">
        <f t="shared" si="3"/>
        <v>24</v>
      </c>
    </row>
    <row r="46" spans="1:6" x14ac:dyDescent="0.25">
      <c r="A46" s="7" t="s">
        <v>112</v>
      </c>
      <c r="B46" s="10" t="str">
        <f t="shared" si="4"/>
        <v>21000</v>
      </c>
      <c r="C46" s="1" t="str">
        <f t="shared" si="0"/>
        <v>Monday</v>
      </c>
      <c r="D46" s="10" t="str">
        <f t="shared" si="1"/>
        <v>0</v>
      </c>
      <c r="E46" s="1" t="str">
        <f t="shared" si="2"/>
        <v>Sunday</v>
      </c>
      <c r="F46" s="10" t="str">
        <f t="shared" si="3"/>
        <v>24</v>
      </c>
    </row>
    <row r="47" spans="1:6" x14ac:dyDescent="0.25">
      <c r="A47" s="7" t="s">
        <v>113</v>
      </c>
      <c r="B47" s="10" t="str">
        <f t="shared" si="4"/>
        <v>21002</v>
      </c>
      <c r="C47" s="1" t="str">
        <f t="shared" si="0"/>
        <v>Monday</v>
      </c>
      <c r="D47" s="10" t="str">
        <f t="shared" si="1"/>
        <v>0</v>
      </c>
      <c r="E47" s="1" t="str">
        <f t="shared" si="2"/>
        <v>Sunday</v>
      </c>
      <c r="F47" s="10" t="str">
        <f t="shared" si="3"/>
        <v>24</v>
      </c>
    </row>
    <row r="48" spans="1:6" x14ac:dyDescent="0.25">
      <c r="A48" s="7" t="s">
        <v>114</v>
      </c>
      <c r="B48" s="10" t="str">
        <f t="shared" si="4"/>
        <v>21004</v>
      </c>
      <c r="C48" s="1" t="str">
        <f t="shared" si="0"/>
        <v>Monday</v>
      </c>
      <c r="D48" s="10" t="str">
        <f t="shared" si="1"/>
        <v>0</v>
      </c>
      <c r="E48" s="1" t="str">
        <f t="shared" si="2"/>
        <v>Sunday</v>
      </c>
      <c r="F48" s="10" t="str">
        <f t="shared" si="3"/>
        <v>24</v>
      </c>
    </row>
    <row r="49" spans="1:6" x14ac:dyDescent="0.25">
      <c r="A49" s="7" t="s">
        <v>115</v>
      </c>
      <c r="B49" s="10" t="str">
        <f t="shared" si="4"/>
        <v>21006</v>
      </c>
      <c r="C49" s="1" t="str">
        <f t="shared" si="0"/>
        <v>Monday</v>
      </c>
      <c r="D49" s="10" t="str">
        <f t="shared" si="1"/>
        <v>0</v>
      </c>
      <c r="E49" s="1" t="str">
        <f t="shared" si="2"/>
        <v>Sunday</v>
      </c>
      <c r="F49" s="10" t="str">
        <f t="shared" si="3"/>
        <v>24</v>
      </c>
    </row>
    <row r="50" spans="1:6" x14ac:dyDescent="0.25">
      <c r="A50" s="7" t="s">
        <v>116</v>
      </c>
      <c r="B50" s="10" t="str">
        <f t="shared" si="4"/>
        <v>21008</v>
      </c>
      <c r="C50" s="1" t="str">
        <f t="shared" si="0"/>
        <v>Monday</v>
      </c>
      <c r="D50" s="10" t="str">
        <f t="shared" si="1"/>
        <v>0</v>
      </c>
      <c r="E50" s="1" t="str">
        <f t="shared" si="2"/>
        <v>Sunday</v>
      </c>
      <c r="F50" s="10" t="str">
        <f t="shared" si="3"/>
        <v>24</v>
      </c>
    </row>
    <row r="51" spans="1:6" x14ac:dyDescent="0.25">
      <c r="A51" s="7" t="s">
        <v>117</v>
      </c>
      <c r="B51" s="10" t="str">
        <f t="shared" si="4"/>
        <v>21010</v>
      </c>
      <c r="C51" s="1" t="str">
        <f t="shared" si="0"/>
        <v>Monday</v>
      </c>
      <c r="D51" s="10" t="str">
        <f t="shared" si="1"/>
        <v>0</v>
      </c>
      <c r="E51" s="1" t="str">
        <f t="shared" si="2"/>
        <v>Sunday</v>
      </c>
      <c r="F51" s="10" t="str">
        <f t="shared" si="3"/>
        <v>24</v>
      </c>
    </row>
    <row r="52" spans="1:6" x14ac:dyDescent="0.25">
      <c r="A52" s="7" t="s">
        <v>118</v>
      </c>
      <c r="B52" s="10" t="str">
        <f t="shared" si="4"/>
        <v>21012</v>
      </c>
      <c r="C52" s="1" t="str">
        <f t="shared" si="0"/>
        <v>Monday</v>
      </c>
      <c r="D52" s="10" t="str">
        <f t="shared" si="1"/>
        <v>0</v>
      </c>
      <c r="E52" s="1" t="str">
        <f t="shared" si="2"/>
        <v>Sunday</v>
      </c>
      <c r="F52" s="10" t="str">
        <f t="shared" si="3"/>
        <v>24</v>
      </c>
    </row>
    <row r="53" spans="1:6" x14ac:dyDescent="0.25">
      <c r="A53" s="7" t="s">
        <v>119</v>
      </c>
      <c r="B53" s="10" t="str">
        <f t="shared" si="4"/>
        <v>21014</v>
      </c>
      <c r="C53" s="1" t="str">
        <f t="shared" si="0"/>
        <v>Monday</v>
      </c>
      <c r="D53" s="10" t="str">
        <f t="shared" si="1"/>
        <v>0</v>
      </c>
      <c r="E53" s="1" t="str">
        <f t="shared" si="2"/>
        <v>Sunday</v>
      </c>
      <c r="F53" s="10" t="str">
        <f t="shared" si="3"/>
        <v>24</v>
      </c>
    </row>
    <row r="54" spans="1:6" x14ac:dyDescent="0.25">
      <c r="A54" s="8" t="s">
        <v>120</v>
      </c>
      <c r="B54" s="10" t="str">
        <f t="shared" si="4"/>
        <v>21016</v>
      </c>
      <c r="C54" s="1" t="str">
        <f t="shared" si="0"/>
        <v>Monday</v>
      </c>
      <c r="D54" s="10" t="str">
        <f t="shared" si="1"/>
        <v>0</v>
      </c>
      <c r="E54" s="1" t="str">
        <f t="shared" si="2"/>
        <v>Sunday</v>
      </c>
      <c r="F54" s="10" t="str">
        <f t="shared" si="3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40" t="s">
        <v>85</v>
      </c>
      <c r="B1" s="39" t="s">
        <v>167</v>
      </c>
    </row>
    <row r="2" spans="1:4" ht="18.75" x14ac:dyDescent="0.3">
      <c r="B2" s="38" t="s">
        <v>166</v>
      </c>
    </row>
    <row r="5" spans="1:4" ht="15" x14ac:dyDescent="0.25">
      <c r="B5" s="1" t="s">
        <v>151</v>
      </c>
    </row>
    <row r="6" spans="1:4" ht="15" x14ac:dyDescent="0.25">
      <c r="A6" s="3" t="s">
        <v>53</v>
      </c>
      <c r="B6" s="1" t="s">
        <v>180</v>
      </c>
    </row>
    <row r="7" spans="1:4" ht="15" x14ac:dyDescent="0.25">
      <c r="A7" s="3" t="s">
        <v>153</v>
      </c>
      <c r="B7" s="1" t="s">
        <v>182</v>
      </c>
    </row>
    <row r="10" spans="1:4" ht="23.25" x14ac:dyDescent="0.35">
      <c r="A10" s="16" t="s">
        <v>162</v>
      </c>
    </row>
    <row r="11" spans="1:4" ht="15" x14ac:dyDescent="0.25">
      <c r="A11" s="30" t="s">
        <v>86</v>
      </c>
      <c r="B11" s="15" t="s">
        <v>87</v>
      </c>
      <c r="C11" s="15" t="s">
        <v>88</v>
      </c>
      <c r="D11" s="45" t="s">
        <v>181</v>
      </c>
    </row>
    <row r="12" spans="1:4" ht="15" x14ac:dyDescent="0.25">
      <c r="A12" s="30">
        <v>44927</v>
      </c>
      <c r="B12" s="15" t="s">
        <v>59</v>
      </c>
      <c r="C12" s="15">
        <v>200</v>
      </c>
      <c r="D12" s="45">
        <f>IF(ISNA(C12:C21), 20,C12:C21)</f>
        <v>200</v>
      </c>
    </row>
    <row r="13" spans="1:4" ht="15" x14ac:dyDescent="0.25">
      <c r="A13" s="30">
        <v>44928</v>
      </c>
      <c r="B13" s="15" t="s">
        <v>60</v>
      </c>
      <c r="C13" s="15" t="e">
        <v>#N/A</v>
      </c>
      <c r="D13" s="45">
        <f t="shared" ref="D13:D21" si="0">IF(ISNA(C13:C22), 20,C13:C22)</f>
        <v>20</v>
      </c>
    </row>
    <row r="14" spans="1:4" ht="15" x14ac:dyDescent="0.25">
      <c r="A14" s="30">
        <v>44929</v>
      </c>
      <c r="B14" s="15" t="s">
        <v>61</v>
      </c>
      <c r="C14" s="15">
        <v>50</v>
      </c>
      <c r="D14" s="45">
        <f t="shared" si="0"/>
        <v>50</v>
      </c>
    </row>
    <row r="15" spans="1:4" ht="15" x14ac:dyDescent="0.25">
      <c r="A15" s="30">
        <v>44930</v>
      </c>
      <c r="B15" s="15" t="s">
        <v>62</v>
      </c>
      <c r="C15" s="15" t="e">
        <v>#N/A</v>
      </c>
      <c r="D15" s="45">
        <f t="shared" si="0"/>
        <v>20</v>
      </c>
    </row>
    <row r="16" spans="1:4" ht="15" x14ac:dyDescent="0.25">
      <c r="A16" s="30">
        <v>44931</v>
      </c>
      <c r="B16" s="15" t="s">
        <v>63</v>
      </c>
      <c r="C16" s="15">
        <v>10</v>
      </c>
      <c r="D16" s="45">
        <f t="shared" si="0"/>
        <v>10</v>
      </c>
    </row>
    <row r="17" spans="1:4" ht="15" x14ac:dyDescent="0.25">
      <c r="A17" s="30">
        <v>44932</v>
      </c>
      <c r="B17" s="15" t="s">
        <v>154</v>
      </c>
      <c r="C17" s="15">
        <v>150</v>
      </c>
      <c r="D17" s="45">
        <f t="shared" si="0"/>
        <v>150</v>
      </c>
    </row>
    <row r="18" spans="1:4" ht="15" x14ac:dyDescent="0.25">
      <c r="A18" s="30">
        <v>44933</v>
      </c>
      <c r="B18" s="15" t="s">
        <v>155</v>
      </c>
      <c r="C18" s="15">
        <v>80</v>
      </c>
      <c r="D18" s="45">
        <f t="shared" si="0"/>
        <v>80</v>
      </c>
    </row>
    <row r="19" spans="1:4" ht="15" x14ac:dyDescent="0.25">
      <c r="A19" s="30">
        <v>44934</v>
      </c>
      <c r="B19" s="15" t="s">
        <v>156</v>
      </c>
      <c r="C19" s="15" t="e">
        <v>#N/A</v>
      </c>
      <c r="D19" s="45">
        <f t="shared" si="0"/>
        <v>20</v>
      </c>
    </row>
    <row r="20" spans="1:4" ht="15" x14ac:dyDescent="0.25">
      <c r="A20" s="30">
        <v>44935</v>
      </c>
      <c r="B20" s="15" t="s">
        <v>157</v>
      </c>
      <c r="C20" s="15">
        <v>30</v>
      </c>
      <c r="D20" s="45">
        <f t="shared" si="0"/>
        <v>30</v>
      </c>
    </row>
    <row r="21" spans="1:4" ht="15" x14ac:dyDescent="0.25">
      <c r="A21" s="30">
        <v>44936</v>
      </c>
      <c r="B21" s="15" t="s">
        <v>158</v>
      </c>
      <c r="C21" s="15" t="e">
        <v>#N/A</v>
      </c>
      <c r="D21" s="45">
        <f t="shared" si="0"/>
        <v>20</v>
      </c>
    </row>
    <row r="22" spans="1:4" ht="15" x14ac:dyDescent="0.25">
      <c r="B22" s="15" t="s">
        <v>159</v>
      </c>
      <c r="C22" s="23">
        <f>SUM(D12:D21)</f>
        <v>600</v>
      </c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5" sqref="C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  <c r="C4" s="2" t="s">
        <v>183</v>
      </c>
    </row>
    <row r="5" spans="1:14" ht="18.75" x14ac:dyDescent="0.3">
      <c r="A5" s="41" t="s">
        <v>153</v>
      </c>
      <c r="B5" s="1"/>
      <c r="C5" s="2" t="s">
        <v>184</v>
      </c>
    </row>
    <row r="6" spans="1:14" ht="15" x14ac:dyDescent="0.25">
      <c r="A6" s="3"/>
      <c r="B6" s="1"/>
    </row>
    <row r="8" spans="1:14" ht="23.25" x14ac:dyDescent="0.35">
      <c r="A8" s="16" t="s">
        <v>162</v>
      </c>
      <c r="M8" s="16" t="s">
        <v>163</v>
      </c>
    </row>
    <row r="9" spans="1:14" ht="15" x14ac:dyDescent="0.2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 x14ac:dyDescent="0.2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5" x14ac:dyDescent="0.2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5" x14ac:dyDescent="0.2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5" x14ac:dyDescent="0.2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5" x14ac:dyDescent="0.2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5" x14ac:dyDescent="0.2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5" x14ac:dyDescent="0.2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5" x14ac:dyDescent="0.2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5" x14ac:dyDescent="0.2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25" x14ac:dyDescent="0.35">
      <c r="A21" s="16" t="s">
        <v>168</v>
      </c>
    </row>
    <row r="22" spans="1:14" ht="15" x14ac:dyDescent="0.25">
      <c r="A22" s="12" t="s">
        <v>100</v>
      </c>
      <c r="B22" s="15" t="s">
        <v>101</v>
      </c>
      <c r="C22" s="14" t="s">
        <v>102</v>
      </c>
    </row>
    <row r="23" spans="1:14" ht="15" x14ac:dyDescent="0.25">
      <c r="A23" s="7">
        <v>10100</v>
      </c>
      <c r="B23" s="10">
        <v>10102</v>
      </c>
      <c r="C23" s="42">
        <f>INDEX($B$10:$J$18, MATCH(VLOOKUP(A23,$M$10:$N$18,2,FALSE),$A$10:$A$18,0),MATCH(VLOOKUP(B23,$M$10:$N$18,2,FALSE),$A$10:$A$18,0))</f>
        <v>95</v>
      </c>
    </row>
    <row r="24" spans="1:14" ht="15" x14ac:dyDescent="0.25">
      <c r="A24" s="7">
        <v>10100</v>
      </c>
      <c r="B24" s="10">
        <v>10104</v>
      </c>
      <c r="C24" s="42">
        <f t="shared" ref="C24:C35" si="0">INDEX($B$10:$J$18, MATCH(VLOOKUP(A24,$M$10:$N$18,2,FALSE),$A$10:$A$18,0),MATCH(VLOOKUP(B24,$M$10:$N$18,2,FALSE),$A$10:$A$18,0))</f>
        <v>-1</v>
      </c>
    </row>
    <row r="25" spans="1:14" ht="15" x14ac:dyDescent="0.25">
      <c r="A25" s="7">
        <v>10108</v>
      </c>
      <c r="B25" s="10">
        <v>10102</v>
      </c>
      <c r="C25" s="42">
        <f t="shared" si="0"/>
        <v>160</v>
      </c>
    </row>
    <row r="26" spans="1:14" ht="15" x14ac:dyDescent="0.25">
      <c r="A26" s="7">
        <v>10100</v>
      </c>
      <c r="B26" s="10">
        <v>10106</v>
      </c>
      <c r="C26" s="42">
        <f t="shared" si="0"/>
        <v>185</v>
      </c>
    </row>
    <row r="27" spans="1:14" ht="15" x14ac:dyDescent="0.25">
      <c r="A27" s="7">
        <v>10108</v>
      </c>
      <c r="B27" s="10">
        <v>10110</v>
      </c>
      <c r="C27" s="42">
        <f t="shared" si="0"/>
        <v>50</v>
      </c>
    </row>
    <row r="28" spans="1:14" ht="15" x14ac:dyDescent="0.25">
      <c r="A28" s="7">
        <v>10102</v>
      </c>
      <c r="B28" s="10">
        <v>10104</v>
      </c>
      <c r="C28" s="42">
        <f t="shared" si="0"/>
        <v>-1</v>
      </c>
    </row>
    <row r="29" spans="1:14" ht="15" x14ac:dyDescent="0.25">
      <c r="A29" s="7">
        <v>10106</v>
      </c>
      <c r="B29" s="10">
        <v>10108</v>
      </c>
      <c r="C29" s="42">
        <f t="shared" si="0"/>
        <v>70</v>
      </c>
    </row>
    <row r="30" spans="1:14" ht="15" x14ac:dyDescent="0.25">
      <c r="A30" s="7">
        <v>10102</v>
      </c>
      <c r="B30" s="10">
        <v>10106</v>
      </c>
      <c r="C30" s="42">
        <f t="shared" si="0"/>
        <v>90</v>
      </c>
    </row>
    <row r="31" spans="1:14" ht="15" x14ac:dyDescent="0.25">
      <c r="A31" s="7">
        <v>10110</v>
      </c>
      <c r="B31" s="10">
        <v>10114</v>
      </c>
      <c r="C31" s="42">
        <f t="shared" si="0"/>
        <v>180</v>
      </c>
    </row>
    <row r="32" spans="1:14" ht="15" x14ac:dyDescent="0.25">
      <c r="A32" s="7">
        <v>10104</v>
      </c>
      <c r="B32" s="10">
        <v>10106</v>
      </c>
      <c r="C32" s="42">
        <f t="shared" si="0"/>
        <v>60</v>
      </c>
    </row>
    <row r="33" spans="1:3" ht="15" x14ac:dyDescent="0.25">
      <c r="A33" s="7">
        <v>10110</v>
      </c>
      <c r="B33" s="10">
        <v>10112</v>
      </c>
      <c r="C33" s="42">
        <f t="shared" si="0"/>
        <v>115</v>
      </c>
    </row>
    <row r="34" spans="1:3" ht="15" x14ac:dyDescent="0.25">
      <c r="A34" s="7">
        <v>10100</v>
      </c>
      <c r="B34" s="10">
        <v>10114</v>
      </c>
      <c r="C34" s="42">
        <f t="shared" si="0"/>
        <v>480</v>
      </c>
    </row>
    <row r="35" spans="1:3" ht="15" x14ac:dyDescent="0.25">
      <c r="A35" s="8">
        <v>10112</v>
      </c>
      <c r="B35" s="11">
        <v>10116</v>
      </c>
      <c r="C35" s="42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ishaan khurana</cp:lastModifiedBy>
  <dcterms:created xsi:type="dcterms:W3CDTF">2015-02-10T17:33:11Z</dcterms:created>
  <dcterms:modified xsi:type="dcterms:W3CDTF">2023-12-09T03:14:23Z</dcterms:modified>
</cp:coreProperties>
</file>